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MG DCF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<sst xmlns="http://schemas.openxmlformats.org/spreadsheetml/2006/main" count="81" uniqueCount="52">
  <si>
    <t xml:space="preserve">Chipotle — DCF Valuation Model</t>
  </si>
  <si>
    <t xml:space="preserve">Ticker:</t>
  </si>
  <si>
    <t xml:space="preserve">CMG</t>
  </si>
  <si>
    <t xml:space="preserve">Implied Share Price:</t>
  </si>
  <si>
    <t xml:space="preserve">Today's Share Price:</t>
  </si>
  <si>
    <t xml:space="preserve">Upside / (Downside):</t>
  </si>
  <si>
    <t xml:space="preserve">Date:</t>
  </si>
  <si>
    <t xml:space="preserve">2/18/26</t>
  </si>
  <si>
    <t xml:space="preserve">All numbers in thousands</t>
  </si>
  <si>
    <t xml:space="preserve">Assumptions</t>
  </si>
  <si>
    <t xml:space="preserve">Valuation Assumptions</t>
  </si>
  <si>
    <t xml:space="preserve">WACC</t>
  </si>
  <si>
    <t xml:space="preserve">TGR</t>
  </si>
  <si>
    <t xml:space="preserve">Income Statement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</si>
  <si>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</si>
  <si>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</si>
  <si>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</si>
  <si>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</si>
  <si>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</si>
  <si>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</si>
  <si>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</si>
  <si>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</si>
  <si>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</si>
  <si>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</si>
  <si>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t xml:space="preserve">Revenue</t>
  </si>
  <si>
    <t xml:space="preserve">   % growth</t>
  </si>
  <si>
    <t xml:space="preserve">EBIT</t>
  </si>
  <si>
    <t xml:space="preserve">   % of sales</t>
  </si>
  <si>
    <t xml:space="preserve">Taxes</t>
  </si>
  <si>
    <t xml:space="preserve">   % of EBIT</t>
  </si>
  <si>
    <t xml:space="preserve">Cash Flow Items</t>
  </si>
  <si>
    <t xml:space="preserve">D&amp;A</t>
  </si>
  <si>
    <t xml:space="preserve">CapEx</t>
  </si>
  <si>
    <t xml:space="preserve">Change in NWC</t>
  </si>
  <si>
    <t xml:space="preserve">DCF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</si>
  <si>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</si>
  <si>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</si>
  <si>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</si>
  <si>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</si>
  <si>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</si>
  <si>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   % margin</t>
  </si>
  <si>
    <t xml:space="preserve">PAR  (NOPAT)</t>
  </si>
  <si>
    <t xml:space="preserve">Unlevered FCF</t>
  </si>
  <si>
    <t xml:space="preserve">Present Value of FCF</t>
  </si>
  <si>
    <t xml:space="preserve">Terminal Value</t>
  </si>
  <si>
    <t xml:space="preserve">Present Value of Terminal Value</t>
  </si>
  <si>
    <t xml:space="preserve">Enterprise Value</t>
  </si>
  <si>
    <t xml:space="preserve">+ Cash</t>
  </si>
  <si>
    <t xml:space="preserve">- Debt</t>
  </si>
  <si>
    <t xml:space="preserve">Equity Value</t>
  </si>
  <si>
    <t xml:space="preserve">/ Shares Outstanding</t>
  </si>
  <si>
    <t xml:space="preserve">Implied Share Price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</si>
</sst>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.00"/>
    <numFmt numFmtId="166" formatCode="0.0%;\(0.0%\);\-"/>
    <numFmt numFmtId="167" formatCode="#,##0_);\(#,##0\);\-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000000"/>
      <name val="Calibri"/>
      <family val="0"/>
      <charset val="1"/>
    </font>
    <font>
      <b val="true"/>
      <sz val="9"/>
      <color rgb="FF000000"/>
      <name val="Calibri"/>
      <family val="0"/>
      <charset val="1"/>
    </font>
    <font>
      <b val="true"/>
      <sz val="9"/>
      <color rgb="FF0000FF"/>
      <name val="Calibri"/>
      <family val="0"/>
      <charset val="1"/>
    </font>
    <font>
      <sz val="9"/>
      <color rgb="FF000000"/>
      <name val="Calibri"/>
      <family val="0"/>
      <charset val="1"/>
    </font>
    <font>
      <sz val="9"/>
      <color rgb="FF0000FF"/>
      <name val="Calibri"/>
      <family val="0"/>
      <charset val="1"/>
    </font>
    <font>
      <i val="true"/>
      <sz val="8"/>
      <color rgb="FF808080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i val="true"/>
      <sz val="9"/>
      <color rgb="FF000000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  <fill>
      <patternFill patternType="solid">
        <fgColor rgb="FFD6E4F0"/>
        <bgColor rgb="FFF2F2F2"/>
      </patternFill>
    </fill>
    <fill>
      <patternFill patternType="solid">
        <fgColor rgb="FFF2F2F2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8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8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7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7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5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1" topLeftCell="B12" activePane="bottomRight" state="frozen"/>
      <selection pane="topLeft" activeCell="A1" activeCellId="0" sqref="A1"/>
      <selection pane="topRight" activeCell="B1" activeCellId="0" sqref="B1"/>
      <selection pane="bottomLeft" activeCell="A12" activeCellId="0" sqref="A1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14" min="2" style="0" width="13"/>
  </cols>
  <sheetData>
    <row r="1" customFormat="false" ht="15.75" hidden="false" customHeight="true" outlineLevel="0" collapsed="false">
      <c r="A1" s="1" t="s">
        <v>0</v>
      </c>
    </row>
    <row r="2" customFormat="false" ht="15.75" hidden="false" customHeight="true" outlineLevel="0" collapsed="false"/>
    <row r="3" customFormat="false" ht="15.75" hidden="false" customHeight="true" outlineLevel="0" collapsed="false">
      <c r="A3" s="2" t="s">
        <v>1</v>
      </c>
      <c r="B3" s="3" t="s">
        <v>2</v>
      </c>
      <c r="D3" s="4" t="s">
        <v>3</v>
      </c>
      <c r="E3" s="5" t="n">
        <f aca="false">$M$54</f>
        <v>46.8075372084926</v>
      </c>
      <c r="G3" s="4" t="s">
        <v>4</v>
      </c>
      <c r="H3" s="6" t="n">
        <v>37.97</v>
      </c>
      <c r="I3" s="4" t="s">
        <v>5</v>
      </c>
      <c r="J3" s="7" t="n">
        <f aca="false">($E$3-$H$3)/$H$3</f>
        <v>0.232750519054322</v>
      </c>
    </row>
    <row r="4" customFormat="false" ht="15.75" hidden="false" customHeight="true" outlineLevel="0" collapsed="false">
      <c r="A4" s="2" t="s">
        <v>6</v>
      </c>
      <c r="B4" s="8" t="s">
        <v>7</v>
      </c>
      <c r="K4" s="9" t="s">
        <v>8</v>
      </c>
    </row>
    <row r="5" customFormat="false" ht="15.75" hidden="false" customHeight="true" outlineLevel="0" collapsed="false"/>
    <row r="6" customFormat="false" ht="15.75" hidden="false" customHeight="true" outlineLevel="0" collapsed="false">
      <c r="A6" s="10" t="s">
        <v>9</v>
      </c>
    </row>
    <row r="7" customFormat="false" ht="15.75" hidden="false" customHeight="true" outlineLevel="0" collapsed="false">
      <c r="A7" s="2" t="s">
        <v>10</v>
      </c>
    </row>
    <row r="8" customFormat="false" ht="15.75" hidden="false" customHeight="true" outlineLevel="0" collapsed="false">
      <c r="A8" s="2" t="s">
        <v>11</v>
      </c>
      <c r="B8" s="11" t="n">
        <v>0.0755</v>
      </c>
    </row>
    <row r="9" customFormat="false" ht="15.75" hidden="false" customHeight="true" outlineLevel="0" collapsed="false">
      <c r="A9" s="2" t="s">
        <v>12</v>
      </c>
      <c r="B9" s="11" t="n">
        <v>0.06</v>
      </c>
    </row>
    <row r="10" customFormat="false" ht="15.75" hidden="false" customHeight="true" outlineLevel="0" collapsed="false"/>
    <row r="11" customFormat="false" ht="15.75" hidden="false" customHeight="true" outlineLevel="0" collapsed="false">
      <c r="A11" s="12" t="s">
        <v>13</v>
      </c>
      <c r="B11" s="13" t="s">
        <v>14</v>
      </c>
      <c r="C11" s="13" t="s">
        <v>15</v>
      </c>
      <c r="D11" s="13" t="s">
        <v>16</v>
      </c>
      <c r="E11" s="13" t="s">
        <v>17</v>
      </c>
      <c r="F11" s="13" t="s">
        <v>18</v>
      </c>
      <c r="G11" s="13" t="s">
        <v>19</v>
      </c>
      <c r="H11" s="13" t="s">
        <v>20</v>
      </c>
      <c r="I11" s="13" t="s">
        <v>21</v>
      </c>
      <c r="J11" s="13" t="s">
        <v>22</v>
      </c>
      <c r="K11" s="13" t="s">
        <v>23</v>
      </c>
    </row>
    <row r="12" customFormat="false" ht="15.75" hidden="false" customHeight="true" outlineLevel="0" collapsed="false">
      <c r="A12" s="2" t="s">
        <v>24</v>
      </c>
      <c r="B12" s="14" t="n">
        <v>7550000</v>
      </c>
      <c r="C12" s="14" t="n">
        <v>8634700</v>
      </c>
      <c r="D12" s="14" t="n">
        <v>9871600</v>
      </c>
      <c r="E12" s="14" t="n">
        <v>11310000</v>
      </c>
      <c r="F12" s="14" t="n">
        <v>11930000</v>
      </c>
      <c r="G12" s="15" t="n">
        <f aca="false">F12*(1+G13)</f>
        <v>13123000</v>
      </c>
      <c r="H12" s="15" t="n">
        <f aca="false">G12*(1+H13)</f>
        <v>14435300</v>
      </c>
      <c r="I12" s="15" t="n">
        <f aca="false">H12*(1+I13)</f>
        <v>16023183</v>
      </c>
      <c r="J12" s="15" t="n">
        <f aca="false">I12*(1+J13)</f>
        <v>17945964.96</v>
      </c>
      <c r="K12" s="15" t="n">
        <f aca="false">J12*(1+K13)</f>
        <v>20278940.4048</v>
      </c>
    </row>
    <row r="13" customFormat="false" ht="15.75" hidden="false" customHeight="true" outlineLevel="0" collapsed="false">
      <c r="A13" s="16" t="s">
        <v>25</v>
      </c>
      <c r="C13" s="17" t="n">
        <f aca="false">IFERROR((C12-B12)/B12,0)</f>
        <v>0.143668874172185</v>
      </c>
      <c r="D13" s="17" t="n">
        <f aca="false">IFERROR((D12-C12)/C12,0)</f>
        <v>0.143247594010215</v>
      </c>
      <c r="E13" s="17" t="n">
        <f aca="false">IFERROR((E12-D12)/D12,0)</f>
        <v>0.145710928319624</v>
      </c>
      <c r="F13" s="17" t="n">
        <f aca="false">IFERROR((F12-E12)/E12,0)</f>
        <v>0.0548187444739169</v>
      </c>
      <c r="G13" s="18" t="n">
        <v>0.1</v>
      </c>
      <c r="H13" s="18" t="n">
        <v>0.1</v>
      </c>
      <c r="I13" s="18" t="n">
        <v>0.11</v>
      </c>
      <c r="J13" s="18" t="n">
        <v>0.12</v>
      </c>
      <c r="K13" s="18" t="n">
        <v>0.13</v>
      </c>
    </row>
    <row r="14" customFormat="false" ht="15.75" hidden="false" customHeight="true" outlineLevel="0" collapsed="false">
      <c r="A14" s="2" t="s">
        <v>26</v>
      </c>
      <c r="B14" s="14" t="n">
        <v>804943</v>
      </c>
      <c r="C14" s="14" t="n">
        <v>1160403</v>
      </c>
      <c r="D14" s="14" t="n">
        <v>1557813</v>
      </c>
      <c r="E14" s="14" t="n">
        <v>1916333</v>
      </c>
      <c r="F14" s="14" t="n">
        <v>1935798</v>
      </c>
      <c r="G14" s="15" t="n">
        <f aca="false">G12*G15</f>
        <v>2230910</v>
      </c>
      <c r="H14" s="15" t="n">
        <f aca="false">H12*H15</f>
        <v>2454001</v>
      </c>
      <c r="I14" s="15" t="n">
        <f aca="false">I12*I15</f>
        <v>2884172.94</v>
      </c>
      <c r="J14" s="15" t="n">
        <f aca="false">J12*J15</f>
        <v>3409733.3424</v>
      </c>
      <c r="K14" s="15" t="n">
        <f aca="false">K12*K15</f>
        <v>3852998.676912</v>
      </c>
    </row>
    <row r="15" customFormat="false" ht="15.75" hidden="false" customHeight="true" outlineLevel="0" collapsed="false">
      <c r="A15" s="16" t="s">
        <v>27</v>
      </c>
      <c r="B15" s="17" t="n">
        <f aca="false">IFERROR(B14/B12,0)</f>
        <v>0.106614966887417</v>
      </c>
      <c r="C15" s="17" t="n">
        <f aca="false">IFERROR(C14/C12,0)</f>
        <v>0.134388340069719</v>
      </c>
      <c r="D15" s="17" t="n">
        <f aca="false">IFERROR(D14/D12,0)</f>
        <v>0.157807548928239</v>
      </c>
      <c r="E15" s="17" t="n">
        <f aca="false">IFERROR(E14/E12,0)</f>
        <v>0.169437046861185</v>
      </c>
      <c r="F15" s="17" t="n">
        <f aca="false">IFERROR(F14/F12,0)</f>
        <v>0.162263034367142</v>
      </c>
      <c r="G15" s="18" t="n">
        <v>0.17</v>
      </c>
      <c r="H15" s="18" t="n">
        <v>0.17</v>
      </c>
      <c r="I15" s="18" t="n">
        <v>0.18</v>
      </c>
      <c r="J15" s="18" t="n">
        <v>0.19</v>
      </c>
      <c r="K15" s="18" t="n">
        <v>0.19</v>
      </c>
    </row>
    <row r="16" customFormat="false" ht="15.75" hidden="false" customHeight="true" outlineLevel="0" collapsed="false">
      <c r="A16" s="2" t="s">
        <v>28</v>
      </c>
      <c r="B16" s="14" t="n">
        <v>158574</v>
      </c>
      <c r="C16" s="14" t="n">
        <v>282400</v>
      </c>
      <c r="D16" s="14" t="n">
        <v>391800</v>
      </c>
      <c r="E16" s="14" t="n">
        <v>476100</v>
      </c>
      <c r="F16" s="14" t="n">
        <v>473800</v>
      </c>
      <c r="G16" s="15" t="n">
        <f aca="false">G14*G17</f>
        <v>535418.4</v>
      </c>
      <c r="H16" s="15" t="n">
        <f aca="false">H14*H17</f>
        <v>588960.24</v>
      </c>
      <c r="I16" s="15" t="n">
        <f aca="false">I14*I17</f>
        <v>692201.5056</v>
      </c>
      <c r="J16" s="15" t="n">
        <f aca="false">J14*J17</f>
        <v>818336.002176</v>
      </c>
      <c r="K16" s="15" t="n">
        <f aca="false">K14*K17</f>
        <v>924719.68245888</v>
      </c>
    </row>
    <row r="17" customFormat="false" ht="15.75" hidden="false" customHeight="true" outlineLevel="0" collapsed="false">
      <c r="A17" s="16" t="s">
        <v>29</v>
      </c>
      <c r="B17" s="17" t="n">
        <f aca="false">IFERROR(B16/B14,0)</f>
        <v>0.197000284492194</v>
      </c>
      <c r="C17" s="17" t="n">
        <f aca="false">IFERROR(C16/C14,0)</f>
        <v>0.243363727946239</v>
      </c>
      <c r="D17" s="17" t="n">
        <f aca="false">IFERROR(D16/D14,0)</f>
        <v>0.251506438834443</v>
      </c>
      <c r="E17" s="17" t="n">
        <f aca="false">IFERROR(E16/E14,0)</f>
        <v>0.248443250729388</v>
      </c>
      <c r="F17" s="17" t="n">
        <f aca="false">IFERROR(F16/F14,0)</f>
        <v>0.24475694261488</v>
      </c>
      <c r="G17" s="18" t="n">
        <v>0.24</v>
      </c>
      <c r="H17" s="18" t="n">
        <v>0.24</v>
      </c>
      <c r="I17" s="18" t="n">
        <v>0.24</v>
      </c>
      <c r="J17" s="18" t="n">
        <v>0.24</v>
      </c>
      <c r="K17" s="18" t="n">
        <v>0.24</v>
      </c>
    </row>
    <row r="18" customFormat="false" ht="15.75" hidden="false" customHeight="true" outlineLevel="0" collapsed="false"/>
    <row r="19" customFormat="false" ht="15.75" hidden="false" customHeight="true" outlineLevel="0" collapsed="false">
      <c r="A19" s="12" t="s">
        <v>30</v>
      </c>
      <c r="B19" s="13" t="s">
        <v>14</v>
      </c>
      <c r="C19" s="13" t="s">
        <v>15</v>
      </c>
      <c r="D19" s="13" t="s">
        <v>16</v>
      </c>
      <c r="E19" s="13" t="s">
        <v>17</v>
      </c>
      <c r="F19" s="13" t="s">
        <v>18</v>
      </c>
      <c r="G19" s="13" t="s">
        <v>19</v>
      </c>
      <c r="H19" s="13" t="s">
        <v>20</v>
      </c>
      <c r="I19" s="13" t="s">
        <v>21</v>
      </c>
      <c r="J19" s="13" t="s">
        <v>22</v>
      </c>
      <c r="K19" s="13" t="s">
        <v>23</v>
      </c>
    </row>
    <row r="20" customFormat="false" ht="15.75" hidden="false" customHeight="true" outlineLevel="0" collapsed="false">
      <c r="A20" s="2" t="s">
        <v>31</v>
      </c>
      <c r="B20" s="14" t="n">
        <v>254700</v>
      </c>
      <c r="C20" s="14" t="n">
        <v>286800</v>
      </c>
      <c r="D20" s="14" t="n">
        <v>319400</v>
      </c>
      <c r="E20" s="14" t="n">
        <v>335000</v>
      </c>
      <c r="F20" s="14" t="n">
        <v>361400</v>
      </c>
      <c r="G20" s="15" t="n">
        <f aca="false">G12*G21</f>
        <v>393690</v>
      </c>
      <c r="H20" s="15" t="n">
        <f aca="false">H12*H21</f>
        <v>433059</v>
      </c>
      <c r="I20" s="15" t="n">
        <f aca="false">I12*I21</f>
        <v>480695.49</v>
      </c>
      <c r="J20" s="15" t="n">
        <f aca="false">J12*J21</f>
        <v>538378.9488</v>
      </c>
      <c r="K20" s="15" t="n">
        <f aca="false">K12*K21</f>
        <v>608368.212144</v>
      </c>
    </row>
    <row r="21" customFormat="false" ht="15.75" hidden="false" customHeight="true" outlineLevel="0" collapsed="false">
      <c r="A21" s="16" t="s">
        <v>27</v>
      </c>
      <c r="B21" s="17" t="n">
        <f aca="false">IFERROR(B20/B12,0)</f>
        <v>0.0337350993377484</v>
      </c>
      <c r="C21" s="17" t="n">
        <f aca="false">IFERROR(C20/C12,0)</f>
        <v>0.0332148192757131</v>
      </c>
      <c r="D21" s="17" t="n">
        <f aca="false">IFERROR(D20/D12,0)</f>
        <v>0.0323554438996718</v>
      </c>
      <c r="E21" s="17" t="n">
        <f aca="false">IFERROR(E20/E12,0)</f>
        <v>0.0296198054818745</v>
      </c>
      <c r="F21" s="17" t="n">
        <f aca="false">IFERROR(F20/F12,0)</f>
        <v>0.0302933780385583</v>
      </c>
      <c r="G21" s="18" t="n">
        <v>0.03</v>
      </c>
      <c r="H21" s="18" t="n">
        <v>0.03</v>
      </c>
      <c r="I21" s="18" t="n">
        <v>0.03</v>
      </c>
      <c r="J21" s="18" t="n">
        <v>0.03</v>
      </c>
      <c r="K21" s="18" t="n">
        <v>0.03</v>
      </c>
    </row>
    <row r="22" customFormat="false" ht="15.75" hidden="false" customHeight="true" outlineLevel="0" collapsed="false">
      <c r="A22" s="2" t="s">
        <v>32</v>
      </c>
      <c r="B22" s="14" t="n">
        <v>442479</v>
      </c>
      <c r="C22" s="14" t="n">
        <v>479164</v>
      </c>
      <c r="D22" s="14" t="n">
        <v>560731</v>
      </c>
      <c r="E22" s="14" t="n">
        <v>593603</v>
      </c>
      <c r="F22" s="14" t="n">
        <v>666156</v>
      </c>
      <c r="G22" s="15" t="n">
        <f aca="false">G12*G23</f>
        <v>748011</v>
      </c>
      <c r="H22" s="15" t="n">
        <f aca="false">H12*H23</f>
        <v>837247.4</v>
      </c>
      <c r="I22" s="15" t="n">
        <f aca="false">I12*I23</f>
        <v>945367.797</v>
      </c>
      <c r="J22" s="15" t="n">
        <f aca="false">J12*J23</f>
        <v>1076757.8976</v>
      </c>
      <c r="K22" s="15" t="n">
        <f aca="false">K12*K23</f>
        <v>1237015.3646928</v>
      </c>
    </row>
    <row r="23" customFormat="false" ht="15.75" hidden="false" customHeight="true" outlineLevel="0" collapsed="false">
      <c r="A23" s="16" t="s">
        <v>27</v>
      </c>
      <c r="B23" s="17" t="n">
        <f aca="false">IFERROR(B22/B12,0)</f>
        <v>0.0586064900662252</v>
      </c>
      <c r="C23" s="17" t="n">
        <f aca="false">IFERROR(C22/C12,0)</f>
        <v>0.0554928370412406</v>
      </c>
      <c r="D23" s="17" t="n">
        <f aca="false">IFERROR(D22/D12,0)</f>
        <v>0.0568024433729081</v>
      </c>
      <c r="E23" s="17" t="n">
        <f aca="false">IFERROR(E22/E12,0)</f>
        <v>0.052484792219275</v>
      </c>
      <c r="F23" s="17" t="n">
        <f aca="false">IFERROR(F22/F12,0)</f>
        <v>0.0558387259010897</v>
      </c>
      <c r="G23" s="18" t="n">
        <v>0.057</v>
      </c>
      <c r="H23" s="18" t="n">
        <v>0.058</v>
      </c>
      <c r="I23" s="18" t="n">
        <v>0.059</v>
      </c>
      <c r="J23" s="18" t="n">
        <v>0.06</v>
      </c>
      <c r="K23" s="18" t="n">
        <v>0.061</v>
      </c>
    </row>
    <row r="24" customFormat="false" ht="15.75" hidden="false" customHeight="true" outlineLevel="0" collapsed="false">
      <c r="A24" s="2" t="s">
        <v>33</v>
      </c>
      <c r="B24" s="14" t="n">
        <v>805467</v>
      </c>
      <c r="C24" s="14" t="n">
        <v>613027</v>
      </c>
      <c r="D24" s="14" t="n">
        <v>642900</v>
      </c>
      <c r="E24" s="14" t="n">
        <v>703854</v>
      </c>
      <c r="F24" s="14" t="n">
        <v>740351</v>
      </c>
      <c r="G24" s="15" t="n">
        <f aca="false">G12*G25</f>
        <v>656150</v>
      </c>
      <c r="H24" s="15" t="n">
        <f aca="false">H12*H25</f>
        <v>721765</v>
      </c>
      <c r="I24" s="15" t="n">
        <f aca="false">I12*I25</f>
        <v>801159.15</v>
      </c>
      <c r="J24" s="15" t="n">
        <f aca="false">J12*J25</f>
        <v>897298.248000001</v>
      </c>
      <c r="K24" s="15" t="n">
        <f aca="false">K12*K25</f>
        <v>1013947.02024</v>
      </c>
    </row>
    <row r="25" customFormat="false" ht="15.75" hidden="false" customHeight="true" outlineLevel="0" collapsed="false">
      <c r="A25" s="16" t="s">
        <v>27</v>
      </c>
      <c r="B25" s="17" t="n">
        <f aca="false">IFERROR(B24/B12,0)</f>
        <v>0.106684370860927</v>
      </c>
      <c r="C25" s="17" t="n">
        <f aca="false">IFERROR(C24/C12,0)</f>
        <v>0.0709957497075753</v>
      </c>
      <c r="D25" s="17" t="n">
        <f aca="false">IFERROR(D24/D12,0)</f>
        <v>0.0651262206734471</v>
      </c>
      <c r="E25" s="17" t="n">
        <f aca="false">IFERROR(E24/E12,0)</f>
        <v>0.0622328912466844</v>
      </c>
      <c r="F25" s="17" t="n">
        <f aca="false">IFERROR(F24/F12,0)</f>
        <v>0.0620579212070411</v>
      </c>
      <c r="G25" s="18" t="n">
        <v>0.05</v>
      </c>
      <c r="H25" s="18" t="n">
        <v>0.05</v>
      </c>
      <c r="I25" s="18" t="n">
        <v>0.05</v>
      </c>
      <c r="J25" s="18" t="n">
        <v>0.05</v>
      </c>
      <c r="K25" s="18" t="n">
        <v>0.05</v>
      </c>
    </row>
    <row r="26" customFormat="false" ht="15.75" hidden="false" customHeight="true" outlineLevel="0" collapsed="false"/>
    <row r="27" customFormat="false" ht="15.75" hidden="false" customHeight="true" outlineLevel="0" collapsed="false">
      <c r="A27" s="12" t="s">
        <v>34</v>
      </c>
      <c r="B27" s="13" t="s">
        <v>14</v>
      </c>
      <c r="C27" s="13" t="s">
        <v>15</v>
      </c>
      <c r="D27" s="13" t="s">
        <v>16</v>
      </c>
      <c r="E27" s="13" t="s">
        <v>17</v>
      </c>
      <c r="F27" s="13" t="s">
        <v>18</v>
      </c>
      <c r="G27" s="13" t="s">
        <v>35</v>
      </c>
      <c r="H27" s="13" t="s">
        <v>36</v>
      </c>
      <c r="I27" s="13" t="s">
        <v>37</v>
      </c>
      <c r="J27" s="13" t="s">
        <v>38</v>
      </c>
      <c r="K27" s="13" t="s">
        <v>39</v>
      </c>
    </row>
    <row r="28" customFormat="false" ht="15.75" hidden="false" customHeight="true" outlineLevel="0" collapsed="false">
      <c r="A28" s="2" t="s">
        <v>24</v>
      </c>
      <c r="B28" s="19" t="n">
        <f aca="false">B12</f>
        <v>7550000</v>
      </c>
      <c r="C28" s="19" t="n">
        <f aca="false">C12</f>
        <v>8634700</v>
      </c>
      <c r="D28" s="19" t="n">
        <f aca="false">D12</f>
        <v>9871600</v>
      </c>
      <c r="E28" s="19" t="n">
        <f aca="false">E12</f>
        <v>11310000</v>
      </c>
      <c r="F28" s="19" t="n">
        <f aca="false">F12</f>
        <v>11930000</v>
      </c>
      <c r="G28" s="15" t="n">
        <f aca="false">G12</f>
        <v>13123000</v>
      </c>
      <c r="H28" s="15" t="n">
        <f aca="false">H12</f>
        <v>14435300</v>
      </c>
      <c r="I28" s="15" t="n">
        <f aca="false">I12</f>
        <v>16023183</v>
      </c>
      <c r="J28" s="15" t="n">
        <f aca="false">J12</f>
        <v>17945964.96</v>
      </c>
      <c r="K28" s="15" t="n">
        <f aca="false">K12</f>
        <v>20278940.4048</v>
      </c>
    </row>
    <row r="29" customFormat="false" ht="15.75" hidden="false" customHeight="true" outlineLevel="0" collapsed="false">
      <c r="A29" s="16" t="s">
        <v>25</v>
      </c>
      <c r="B29" s="17" t="n">
        <f aca="false">B13</f>
        <v>0</v>
      </c>
      <c r="C29" s="17" t="n">
        <f aca="false">C13</f>
        <v>0.143668874172185</v>
      </c>
      <c r="D29" s="17" t="n">
        <f aca="false">D13</f>
        <v>0.143247594010215</v>
      </c>
      <c r="E29" s="17" t="n">
        <f aca="false">E13</f>
        <v>0.145710928319624</v>
      </c>
      <c r="F29" s="17" t="n">
        <f aca="false">F13</f>
        <v>0.0548187444739169</v>
      </c>
      <c r="G29" s="20" t="n">
        <f aca="false">G13</f>
        <v>0.1</v>
      </c>
      <c r="H29" s="20" t="n">
        <f aca="false">H13</f>
        <v>0.1</v>
      </c>
      <c r="I29" s="20" t="n">
        <f aca="false">I13</f>
        <v>0.11</v>
      </c>
      <c r="J29" s="20" t="n">
        <f aca="false">J13</f>
        <v>0.12</v>
      </c>
      <c r="K29" s="20" t="n">
        <f aca="false">K13</f>
        <v>0.13</v>
      </c>
    </row>
    <row r="30" customFormat="false" ht="15.75" hidden="false" customHeight="true" outlineLevel="0" collapsed="false">
      <c r="A30" s="2" t="s">
        <v>26</v>
      </c>
      <c r="B30" s="19" t="n">
        <f aca="false">B14</f>
        <v>804943</v>
      </c>
      <c r="C30" s="19" t="n">
        <f aca="false">C14</f>
        <v>1160403</v>
      </c>
      <c r="D30" s="19" t="n">
        <f aca="false">D14</f>
        <v>1557813</v>
      </c>
      <c r="E30" s="19" t="n">
        <f aca="false">E14</f>
        <v>1916333</v>
      </c>
      <c r="F30" s="19" t="n">
        <f aca="false">F14</f>
        <v>1935798</v>
      </c>
      <c r="G30" s="15" t="n">
        <f aca="false">G14</f>
        <v>2230910</v>
      </c>
      <c r="H30" s="15" t="n">
        <f aca="false">H14</f>
        <v>2454001</v>
      </c>
      <c r="I30" s="15" t="n">
        <f aca="false">I14</f>
        <v>2884172.94</v>
      </c>
      <c r="J30" s="15" t="n">
        <f aca="false">J14</f>
        <v>3409733.3424</v>
      </c>
      <c r="K30" s="15" t="n">
        <f aca="false">K14</f>
        <v>3852998.676912</v>
      </c>
    </row>
    <row r="31" customFormat="false" ht="15.75" hidden="false" customHeight="true" outlineLevel="0" collapsed="false">
      <c r="A31" s="16" t="s">
        <v>40</v>
      </c>
      <c r="B31" s="17" t="n">
        <f aca="false">B15</f>
        <v>0.106614966887417</v>
      </c>
      <c r="C31" s="17" t="n">
        <f aca="false">C15</f>
        <v>0.134388340069719</v>
      </c>
      <c r="D31" s="17" t="n">
        <f aca="false">D15</f>
        <v>0.157807548928239</v>
      </c>
      <c r="E31" s="17" t="n">
        <f aca="false">E15</f>
        <v>0.169437046861185</v>
      </c>
      <c r="F31" s="17" t="n">
        <f aca="false">F15</f>
        <v>0.162263034367142</v>
      </c>
      <c r="G31" s="20" t="n">
        <f aca="false">G15</f>
        <v>0.17</v>
      </c>
      <c r="H31" s="20" t="n">
        <f aca="false">H15</f>
        <v>0.17</v>
      </c>
      <c r="I31" s="20" t="n">
        <f aca="false">I15</f>
        <v>0.18</v>
      </c>
      <c r="J31" s="20" t="n">
        <f aca="false">J15</f>
        <v>0.19</v>
      </c>
      <c r="K31" s="20" t="n">
        <f aca="false">K15</f>
        <v>0.19</v>
      </c>
    </row>
    <row r="32" customFormat="false" ht="15.75" hidden="false" customHeight="true" outlineLevel="0" collapsed="false">
      <c r="A32" s="2" t="s">
        <v>28</v>
      </c>
      <c r="B32" s="19" t="n">
        <f aca="false">B16</f>
        <v>158574</v>
      </c>
      <c r="C32" s="19" t="n">
        <f aca="false">C16</f>
        <v>282400</v>
      </c>
      <c r="D32" s="19" t="n">
        <f aca="false">D16</f>
        <v>391800</v>
      </c>
      <c r="E32" s="19" t="n">
        <f aca="false">E16</f>
        <v>476100</v>
      </c>
      <c r="F32" s="19" t="n">
        <f aca="false">F16</f>
        <v>473800</v>
      </c>
      <c r="G32" s="15" t="n">
        <f aca="false">G16</f>
        <v>535418.4</v>
      </c>
      <c r="H32" s="15" t="n">
        <f aca="false">H16</f>
        <v>588960.24</v>
      </c>
      <c r="I32" s="15" t="n">
        <f aca="false">I16</f>
        <v>692201.5056</v>
      </c>
      <c r="J32" s="15" t="n">
        <f aca="false">J16</f>
        <v>818336.002176</v>
      </c>
      <c r="K32" s="15" t="n">
        <f aca="false">K16</f>
        <v>924719.68245888</v>
      </c>
    </row>
    <row r="33" customFormat="false" ht="15.75" hidden="false" customHeight="true" outlineLevel="0" collapsed="false">
      <c r="A33" s="16" t="s">
        <v>29</v>
      </c>
      <c r="B33" s="17" t="n">
        <f aca="false">B17</f>
        <v>0.197000284492194</v>
      </c>
      <c r="C33" s="17" t="n">
        <f aca="false">C17</f>
        <v>0.243363727946239</v>
      </c>
      <c r="D33" s="17" t="n">
        <f aca="false">D17</f>
        <v>0.251506438834443</v>
      </c>
      <c r="E33" s="17" t="n">
        <f aca="false">E17</f>
        <v>0.248443250729388</v>
      </c>
      <c r="F33" s="17" t="n">
        <f aca="false">F17</f>
        <v>0.24475694261488</v>
      </c>
      <c r="G33" s="20" t="n">
        <f aca="false">G17</f>
        <v>0.24</v>
      </c>
      <c r="H33" s="20" t="n">
        <f aca="false">H17</f>
        <v>0.24</v>
      </c>
      <c r="I33" s="20" t="n">
        <f aca="false">I17</f>
        <v>0.24</v>
      </c>
      <c r="J33" s="20" t="n">
        <f aca="false">J17</f>
        <v>0.24</v>
      </c>
      <c r="K33" s="20" t="n">
        <f aca="false">K17</f>
        <v>0.24</v>
      </c>
    </row>
    <row r="34" customFormat="false" ht="15.75" hidden="false" customHeight="true" outlineLevel="0" collapsed="false"/>
    <row r="35" customFormat="false" ht="15.75" hidden="false" customHeight="true" outlineLevel="0" collapsed="false">
      <c r="A35" s="2" t="s">
        <v>41</v>
      </c>
      <c r="G35" s="15" t="n">
        <f aca="false">G30-G32</f>
        <v>1695491.6</v>
      </c>
      <c r="H35" s="15" t="n">
        <f aca="false">H30-H32</f>
        <v>1865040.76</v>
      </c>
      <c r="I35" s="15" t="n">
        <f aca="false">I30-I32</f>
        <v>2191971.4344</v>
      </c>
      <c r="J35" s="15" t="n">
        <f aca="false">J30-J32</f>
        <v>2591397.340224</v>
      </c>
      <c r="K35" s="15" t="n">
        <f aca="false">K30-K32</f>
        <v>2928278.99445312</v>
      </c>
    </row>
    <row r="36" customFormat="false" ht="15.75" hidden="false" customHeight="true" outlineLevel="0" collapsed="false">
      <c r="A36" s="2" t="s">
        <v>31</v>
      </c>
      <c r="B36" s="19" t="n">
        <f aca="false">B20</f>
        <v>254700</v>
      </c>
      <c r="C36" s="19" t="n">
        <f aca="false">C20</f>
        <v>286800</v>
      </c>
      <c r="D36" s="19" t="n">
        <f aca="false">D20</f>
        <v>319400</v>
      </c>
      <c r="E36" s="19" t="n">
        <f aca="false">E20</f>
        <v>335000</v>
      </c>
      <c r="F36" s="19" t="n">
        <f aca="false">F20</f>
        <v>361400</v>
      </c>
      <c r="G36" s="15" t="n">
        <f aca="false">G20</f>
        <v>393690</v>
      </c>
      <c r="H36" s="15" t="n">
        <f aca="false">H20</f>
        <v>433059</v>
      </c>
      <c r="I36" s="15" t="n">
        <f aca="false">I20</f>
        <v>480695.49</v>
      </c>
      <c r="J36" s="15" t="n">
        <f aca="false">J20</f>
        <v>538378.9488</v>
      </c>
      <c r="K36" s="15" t="n">
        <f aca="false">K20</f>
        <v>608368.212144</v>
      </c>
    </row>
    <row r="37" customFormat="false" ht="15.75" hidden="false" customHeight="true" outlineLevel="0" collapsed="false">
      <c r="A37" s="16" t="s">
        <v>27</v>
      </c>
      <c r="B37" s="17" t="n">
        <f aca="false">B21</f>
        <v>0.0337350993377484</v>
      </c>
      <c r="C37" s="17" t="n">
        <f aca="false">C21</f>
        <v>0.0332148192757131</v>
      </c>
      <c r="D37" s="17" t="n">
        <f aca="false">D21</f>
        <v>0.0323554438996718</v>
      </c>
      <c r="E37" s="17" t="n">
        <f aca="false">E21</f>
        <v>0.0296198054818745</v>
      </c>
      <c r="F37" s="17" t="n">
        <f aca="false">F21</f>
        <v>0.0302933780385583</v>
      </c>
      <c r="G37" s="20" t="n">
        <f aca="false">G21</f>
        <v>0.03</v>
      </c>
      <c r="H37" s="20" t="n">
        <f aca="false">H21</f>
        <v>0.03</v>
      </c>
      <c r="I37" s="20" t="n">
        <f aca="false">I21</f>
        <v>0.03</v>
      </c>
      <c r="J37" s="20" t="n">
        <f aca="false">J21</f>
        <v>0.03</v>
      </c>
      <c r="K37" s="20" t="n">
        <f aca="false">K21</f>
        <v>0.03</v>
      </c>
    </row>
    <row r="38" customFormat="false" ht="15.75" hidden="false" customHeight="true" outlineLevel="0" collapsed="false">
      <c r="A38" s="2" t="s">
        <v>32</v>
      </c>
      <c r="B38" s="19" t="n">
        <f aca="false">B22</f>
        <v>442479</v>
      </c>
      <c r="C38" s="19" t="n">
        <f aca="false">C22</f>
        <v>479164</v>
      </c>
      <c r="D38" s="19" t="n">
        <f aca="false">D22</f>
        <v>560731</v>
      </c>
      <c r="E38" s="19" t="n">
        <f aca="false">E22</f>
        <v>593603</v>
      </c>
      <c r="F38" s="19" t="n">
        <f aca="false">F22</f>
        <v>666156</v>
      </c>
      <c r="G38" s="15" t="n">
        <f aca="false">G22</f>
        <v>748011</v>
      </c>
      <c r="H38" s="15" t="n">
        <f aca="false">H22</f>
        <v>837247.4</v>
      </c>
      <c r="I38" s="15" t="n">
        <f aca="false">I22</f>
        <v>945367.797</v>
      </c>
      <c r="J38" s="15" t="n">
        <f aca="false">J22</f>
        <v>1076757.8976</v>
      </c>
      <c r="K38" s="15" t="n">
        <f aca="false">K22</f>
        <v>1237015.3646928</v>
      </c>
    </row>
    <row r="39" customFormat="false" ht="15.75" hidden="false" customHeight="true" outlineLevel="0" collapsed="false">
      <c r="A39" s="16" t="s">
        <v>27</v>
      </c>
      <c r="B39" s="17" t="n">
        <f aca="false">B23</f>
        <v>0.0586064900662252</v>
      </c>
      <c r="C39" s="17" t="n">
        <f aca="false">C23</f>
        <v>0.0554928370412406</v>
      </c>
      <c r="D39" s="17" t="n">
        <f aca="false">D23</f>
        <v>0.0568024433729081</v>
      </c>
      <c r="E39" s="17" t="n">
        <f aca="false">E23</f>
        <v>0.052484792219275</v>
      </c>
      <c r="F39" s="17" t="n">
        <f aca="false">F23</f>
        <v>0.0558387259010897</v>
      </c>
      <c r="G39" s="20" t="n">
        <f aca="false">G23</f>
        <v>0.057</v>
      </c>
      <c r="H39" s="20" t="n">
        <f aca="false">H23</f>
        <v>0.058</v>
      </c>
      <c r="I39" s="20" t="n">
        <f aca="false">I23</f>
        <v>0.059</v>
      </c>
      <c r="J39" s="20" t="n">
        <f aca="false">J23</f>
        <v>0.06</v>
      </c>
      <c r="K39" s="20" t="n">
        <f aca="false">K23</f>
        <v>0.061</v>
      </c>
    </row>
    <row r="40" customFormat="false" ht="15.75" hidden="false" customHeight="true" outlineLevel="0" collapsed="false">
      <c r="A40" s="2" t="s">
        <v>33</v>
      </c>
      <c r="B40" s="19" t="n">
        <f aca="false">B24</f>
        <v>805467</v>
      </c>
      <c r="C40" s="19" t="n">
        <f aca="false">C24</f>
        <v>613027</v>
      </c>
      <c r="D40" s="19" t="n">
        <f aca="false">D24</f>
        <v>642900</v>
      </c>
      <c r="E40" s="19" t="n">
        <f aca="false">E24</f>
        <v>703854</v>
      </c>
      <c r="F40" s="19" t="n">
        <f aca="false">F24</f>
        <v>740351</v>
      </c>
      <c r="G40" s="15" t="n">
        <f aca="false">G24</f>
        <v>656150</v>
      </c>
      <c r="H40" s="15" t="n">
        <f aca="false">H24</f>
        <v>721765</v>
      </c>
      <c r="I40" s="15" t="n">
        <f aca="false">I24</f>
        <v>801159.15</v>
      </c>
      <c r="J40" s="15" t="n">
        <f aca="false">J24</f>
        <v>897298.248000001</v>
      </c>
      <c r="K40" s="15" t="n">
        <f aca="false">K24</f>
        <v>1013947.02024</v>
      </c>
    </row>
    <row r="41" customFormat="false" ht="15.75" hidden="false" customHeight="true" outlineLevel="0" collapsed="false">
      <c r="A41" s="16" t="s">
        <v>27</v>
      </c>
      <c r="B41" s="17" t="n">
        <f aca="false">B25</f>
        <v>0.106684370860927</v>
      </c>
      <c r="C41" s="17" t="n">
        <f aca="false">C25</f>
        <v>0.0709957497075753</v>
      </c>
      <c r="D41" s="17" t="n">
        <f aca="false">D25</f>
        <v>0.0651262206734471</v>
      </c>
      <c r="E41" s="17" t="n">
        <f aca="false">E25</f>
        <v>0.0622328912466844</v>
      </c>
      <c r="F41" s="17" t="n">
        <f aca="false">F25</f>
        <v>0.0620579212070411</v>
      </c>
      <c r="G41" s="20" t="n">
        <f aca="false">G25</f>
        <v>0.05</v>
      </c>
      <c r="H41" s="20" t="n">
        <f aca="false">H25</f>
        <v>0.05</v>
      </c>
      <c r="I41" s="20" t="n">
        <f aca="false">I25</f>
        <v>0.05</v>
      </c>
      <c r="J41" s="20" t="n">
        <f aca="false">J25</f>
        <v>0.05</v>
      </c>
      <c r="K41" s="20" t="n">
        <f aca="false">K25</f>
        <v>0.05</v>
      </c>
    </row>
    <row r="42" customFormat="false" ht="15.75" hidden="false" customHeight="true" outlineLevel="0" collapsed="false"/>
    <row r="43" customFormat="false" ht="15.75" hidden="false" customHeight="true" outlineLevel="0" collapsed="false">
      <c r="A43" s="2" t="s">
        <v>42</v>
      </c>
      <c r="G43" s="21" t="n">
        <f aca="false">G35+G36-G38-G40</f>
        <v>685020.6</v>
      </c>
      <c r="H43" s="21" t="n">
        <f aca="false">H35+H36-H38-H40</f>
        <v>739087.36</v>
      </c>
      <c r="I43" s="21" t="n">
        <f aca="false">I35+I36-I38-I40</f>
        <v>926139.9774</v>
      </c>
      <c r="J43" s="21" t="n">
        <f aca="false">J35+J36-J38-J40</f>
        <v>1155720.143424</v>
      </c>
      <c r="K43" s="21" t="n">
        <f aca="false">K35+K36-K38-K40</f>
        <v>1285684.82166432</v>
      </c>
    </row>
    <row r="44" customFormat="false" ht="15.75" hidden="false" customHeight="true" outlineLevel="0" collapsed="false">
      <c r="A44" s="2" t="s">
        <v>43</v>
      </c>
      <c r="G44" s="15" t="n">
        <f aca="false">G43/((1+$B$8)^1)</f>
        <v>636932.217573222</v>
      </c>
      <c r="H44" s="15" t="n">
        <f aca="false">H43/((1+$B$8)^2)</f>
        <v>638961.874521943</v>
      </c>
      <c r="I44" s="15" t="n">
        <f aca="false">I43/((1+$B$8)^3)</f>
        <v>744466.889411517</v>
      </c>
      <c r="J44" s="15" t="n">
        <f aca="false">J43/((1+$B$8)^4)</f>
        <v>863795.672399479</v>
      </c>
      <c r="K44" s="15" t="n">
        <f aca="false">K43/((1+$B$8)^5)</f>
        <v>893475.078210675</v>
      </c>
    </row>
    <row r="45" customFormat="false" ht="15.75" hidden="false" customHeight="true" outlineLevel="0" collapsed="false"/>
    <row r="46" customFormat="false" ht="15.75" hidden="false" customHeight="true" outlineLevel="0" collapsed="false">
      <c r="A46" s="2" t="s">
        <v>44</v>
      </c>
      <c r="M46" s="15" t="n">
        <f aca="false">K43*(1+$B$9)/($B$8-$B$9)</f>
        <v>87924252.3202696</v>
      </c>
    </row>
    <row r="47" customFormat="false" ht="15.75" hidden="false" customHeight="true" outlineLevel="0" collapsed="false">
      <c r="A47" s="2" t="s">
        <v>45</v>
      </c>
      <c r="M47" s="15" t="n">
        <f aca="false">M46/((1+$B$8)^5)</f>
        <v>61102166.6389236</v>
      </c>
    </row>
    <row r="48" customFormat="false" ht="15.75" hidden="false" customHeight="true" outlineLevel="0" collapsed="false"/>
    <row r="49" customFormat="false" ht="15.75" hidden="false" customHeight="true" outlineLevel="0" collapsed="false">
      <c r="A49" s="2" t="s">
        <v>46</v>
      </c>
      <c r="M49" s="21" t="n">
        <f aca="false">SUM(G44:K44)+M47</f>
        <v>64879798.3710404</v>
      </c>
    </row>
    <row r="50" customFormat="false" ht="15.75" hidden="false" customHeight="true" outlineLevel="0" collapsed="false">
      <c r="A50" s="2" t="s">
        <v>47</v>
      </c>
      <c r="M50" s="22" t="n">
        <v>1050000</v>
      </c>
    </row>
    <row r="51" customFormat="false" ht="15.75" hidden="false" customHeight="true" outlineLevel="0" collapsed="false">
      <c r="A51" s="2" t="s">
        <v>48</v>
      </c>
      <c r="M51" s="22" t="n">
        <v>5080000</v>
      </c>
    </row>
    <row r="52" customFormat="false" ht="15.75" hidden="false" customHeight="true" outlineLevel="0" collapsed="false">
      <c r="A52" s="2" t="s">
        <v>49</v>
      </c>
      <c r="M52" s="21" t="n">
        <f aca="false">M49+M50-M51</f>
        <v>60849798.3710404</v>
      </c>
    </row>
    <row r="53" customFormat="false" ht="15.75" hidden="false" customHeight="true" outlineLevel="0" collapsed="false">
      <c r="A53" s="2" t="s">
        <v>50</v>
      </c>
      <c r="M53" s="22" t="n">
        <v>1300000</v>
      </c>
    </row>
    <row r="54" customFormat="false" ht="15.75" hidden="false" customHeight="true" outlineLevel="0" collapsed="false">
      <c r="A54" s="2" t="s">
        <v>51</v>
      </c>
      <c r="M54" s="23" t="n">
        <f aca="false">M52/M53</f>
        <v>46.8075372084926</v>
      </c>
    </row>
    <row r="55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2026-03-31T06:35:03Z</dcterms:created>
  <dc:creator>openpyxl</dc:creator>
  <dc:description/>
  <dc:language>en-US</dc:language>
  <cp:lastModifiedBy/>
  <dcterms:modified xsi:type="dcterms:W3CDTF">2026-03-31T06:35:03Z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