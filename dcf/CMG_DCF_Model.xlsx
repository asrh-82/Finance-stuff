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G 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%;(0%);&quot;-&quot;"/>
    <numFmt numFmtId="166" formatCode="0.0%;(0.0%);&quot;-&quot;"/>
    <numFmt numFmtId="167" formatCode="#,##0_);(#,##0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b val="1"/>
      <color rgb="00000000"/>
      <sz val="9"/>
    </font>
    <font>
      <name val="Calibri"/>
      <b val="1"/>
      <color rgb="000000FF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i val="1"/>
      <color rgb="00808080"/>
      <sz val="8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5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167" fontId="5" fillId="5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4" fillId="5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4" fillId="5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2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16" customHeight="1">
      <c r="A1" s="1" t="inlineStr">
        <is>
          <t>Chipotle — DCF Valuation Model</t>
        </is>
      </c>
    </row>
    <row r="2" ht="16" customHeight="1"/>
    <row r="3" ht="16" customHeight="1">
      <c r="A3" s="2" t="inlineStr">
        <is>
          <t>Ticker:</t>
        </is>
      </c>
      <c r="B3" s="3" t="inlineStr">
        <is>
          <t>CMG</t>
        </is>
      </c>
      <c r="D3" s="4" t="inlineStr">
        <is>
          <t>Implied Share Price:</t>
        </is>
      </c>
      <c r="E3" s="5">
        <f>$M$54</f>
        <v/>
      </c>
      <c r="G3" s="4" t="inlineStr">
        <is>
          <t>Today's Share Price:</t>
        </is>
      </c>
      <c r="H3" s="6" t="n">
        <v>36.3</v>
      </c>
      <c r="I3" s="4" t="inlineStr">
        <is>
          <t>Upside / (Downside):</t>
        </is>
      </c>
      <c r="J3" s="7">
        <f>($E$3-$H$3)/$H$3</f>
        <v/>
      </c>
    </row>
    <row r="4" ht="16" customHeight="1">
      <c r="A4" s="2" t="inlineStr">
        <is>
          <t>Date:</t>
        </is>
      </c>
      <c r="B4" s="8" t="inlineStr">
        <is>
          <t>2/18/26</t>
        </is>
      </c>
      <c r="K4" s="9" t="inlineStr">
        <is>
          <t>All numbers in thousands</t>
        </is>
      </c>
    </row>
    <row r="5" ht="16" customHeight="1"/>
    <row r="6" ht="16" customHeight="1">
      <c r="A6" s="10" t="inlineStr">
        <is>
          <t>Assumptions</t>
        </is>
      </c>
    </row>
    <row r="7" ht="16" customHeight="1">
      <c r="A7" s="2" t="inlineStr">
        <is>
          <t>Valuation Assumptions</t>
        </is>
      </c>
    </row>
    <row r="8" ht="16" customHeight="1">
      <c r="A8" s="2" t="inlineStr">
        <is>
          <t>WACC</t>
        </is>
      </c>
      <c r="B8" s="11" t="n">
        <v>0.0755</v>
      </c>
    </row>
    <row r="9" ht="16" customHeight="1">
      <c r="A9" s="2" t="inlineStr">
        <is>
          <t>TGR</t>
        </is>
      </c>
      <c r="B9" s="11" t="n">
        <v>0.06</v>
      </c>
    </row>
    <row r="10" ht="16" customHeight="1"/>
    <row r="11" ht="16" customHeight="1">
      <c r="A11" s="12" t="inlineStr">
        <is>
          <t>Income Statement</t>
        </is>
      </c>
      <c r="B11" s="13" t="inlineStr">
        <is>
          <t>2021</t>
        </is>
      </c>
      <c r="C11" s="13" t="inlineStr">
        <is>
          <t>2022</t>
        </is>
      </c>
      <c r="D11" s="13" t="inlineStr">
        <is>
          <t>2023</t>
        </is>
      </c>
      <c r="E11" s="13" t="inlineStr">
        <is>
          <t>2024</t>
        </is>
      </c>
      <c r="F11" s="13" t="inlineStr">
        <is>
          <t>2025</t>
        </is>
      </c>
      <c r="G11" s="13" t="inlineStr">
        <is>
          <t>2026</t>
        </is>
      </c>
      <c r="H11" s="13" t="inlineStr">
        <is>
          <t>2027</t>
        </is>
      </c>
      <c r="I11" s="13" t="inlineStr">
        <is>
          <t>2028</t>
        </is>
      </c>
      <c r="J11" s="13" t="inlineStr">
        <is>
          <t>2029</t>
        </is>
      </c>
      <c r="K11" s="13" t="inlineStr">
        <is>
          <t>2030</t>
        </is>
      </c>
    </row>
    <row r="12" ht="16" customHeight="1">
      <c r="A12" s="2" t="inlineStr">
        <is>
          <t>Revenue</t>
        </is>
      </c>
      <c r="B12" s="14" t="n">
        <v>7550000</v>
      </c>
      <c r="C12" s="14" t="n">
        <v>8634700</v>
      </c>
      <c r="D12" s="14" t="n">
        <v>9871600</v>
      </c>
      <c r="E12" s="14" t="n">
        <v>11310000</v>
      </c>
      <c r="F12" s="14" t="n">
        <v>11930000</v>
      </c>
      <c r="G12" s="15">
        <f>F12*(1+G13)</f>
        <v/>
      </c>
      <c r="H12" s="15">
        <f>G12*(1+H13)</f>
        <v/>
      </c>
      <c r="I12" s="15">
        <f>H12*(1+I13)</f>
        <v/>
      </c>
      <c r="J12" s="15">
        <f>I12*(1+J13)</f>
        <v/>
      </c>
      <c r="K12" s="15">
        <f>J12*(1+K13)</f>
        <v/>
      </c>
    </row>
    <row r="13" ht="16" customHeight="1">
      <c r="A13" s="16" t="inlineStr">
        <is>
          <t xml:space="preserve">   % growth</t>
        </is>
      </c>
      <c r="C13" s="17">
        <f>IFERROR((C12-B12)/B12,0)</f>
        <v/>
      </c>
      <c r="D13" s="17">
        <f>IFERROR((D12-C12)/C12,0)</f>
        <v/>
      </c>
      <c r="E13" s="17">
        <f>IFERROR((E12-D12)/D12,0)</f>
        <v/>
      </c>
      <c r="F13" s="17">
        <f>IFERROR((F12-E12)/E12,0)</f>
        <v/>
      </c>
      <c r="G13" s="18" t="n">
        <v>0.1</v>
      </c>
      <c r="H13" s="18" t="n">
        <v>0.1</v>
      </c>
      <c r="I13" s="18" t="n">
        <v>0.1</v>
      </c>
      <c r="J13" s="18" t="n">
        <v>0.1</v>
      </c>
      <c r="K13" s="18" t="n">
        <v>0.1</v>
      </c>
    </row>
    <row r="14" ht="16" customHeight="1">
      <c r="A14" s="2" t="inlineStr">
        <is>
          <t>EBIT</t>
        </is>
      </c>
      <c r="B14" s="14" t="n">
        <v>804943</v>
      </c>
      <c r="C14" s="14" t="n">
        <v>1160403</v>
      </c>
      <c r="D14" s="14" t="n">
        <v>1557813</v>
      </c>
      <c r="E14" s="14" t="n">
        <v>1916333</v>
      </c>
      <c r="F14" s="14" t="n">
        <v>1935798</v>
      </c>
      <c r="G14" s="15">
        <f>G12*G15</f>
        <v/>
      </c>
      <c r="H14" s="15">
        <f>H12*H15</f>
        <v/>
      </c>
      <c r="I14" s="15">
        <f>I12*I15</f>
        <v/>
      </c>
      <c r="J14" s="15">
        <f>J12*J15</f>
        <v/>
      </c>
      <c r="K14" s="15">
        <f>K12*K15</f>
        <v/>
      </c>
    </row>
    <row r="15" ht="16" customHeight="1">
      <c r="A15" s="16" t="inlineStr">
        <is>
          <t xml:space="preserve">   % of sales</t>
        </is>
      </c>
      <c r="B15" s="17">
        <f>IFERROR(B14/B12,0)</f>
        <v/>
      </c>
      <c r="C15" s="17">
        <f>IFERROR(C14/C12,0)</f>
        <v/>
      </c>
      <c r="D15" s="17">
        <f>IFERROR(D14/D12,0)</f>
        <v/>
      </c>
      <c r="E15" s="17">
        <f>IFERROR(E14/E12,0)</f>
        <v/>
      </c>
      <c r="F15" s="17">
        <f>IFERROR(F14/F12,0)</f>
        <v/>
      </c>
      <c r="G15" s="18" t="n">
        <v>0.17</v>
      </c>
      <c r="H15" s="18" t="n">
        <v>0.1725</v>
      </c>
      <c r="I15" s="18" t="n">
        <v>0.18</v>
      </c>
      <c r="J15" s="18" t="n">
        <v>0.185</v>
      </c>
      <c r="K15" s="18" t="n">
        <v>0.185</v>
      </c>
    </row>
    <row r="16" ht="16" customHeight="1">
      <c r="A16" s="2" t="inlineStr">
        <is>
          <t>Taxes</t>
        </is>
      </c>
      <c r="B16" s="14" t="n">
        <v>158574</v>
      </c>
      <c r="C16" s="14" t="n">
        <v>282400</v>
      </c>
      <c r="D16" s="14" t="n">
        <v>391800</v>
      </c>
      <c r="E16" s="14" t="n">
        <v>476100</v>
      </c>
      <c r="F16" s="14" t="n">
        <v>473800</v>
      </c>
      <c r="G16" s="15">
        <f>G14*G17</f>
        <v/>
      </c>
      <c r="H16" s="15">
        <f>H14*H17</f>
        <v/>
      </c>
      <c r="I16" s="15">
        <f>I14*I17</f>
        <v/>
      </c>
      <c r="J16" s="15">
        <f>J14*J17</f>
        <v/>
      </c>
      <c r="K16" s="15">
        <f>K14*K17</f>
        <v/>
      </c>
    </row>
    <row r="17" ht="16" customHeight="1">
      <c r="A17" s="16" t="inlineStr">
        <is>
          <t xml:space="preserve">   % of EBIT</t>
        </is>
      </c>
      <c r="B17" s="17">
        <f>IFERROR(B16/B14,0)</f>
        <v/>
      </c>
      <c r="C17" s="17">
        <f>IFERROR(C16/C14,0)</f>
        <v/>
      </c>
      <c r="D17" s="17">
        <f>IFERROR(D16/D14,0)</f>
        <v/>
      </c>
      <c r="E17" s="17">
        <f>IFERROR(E16/E14,0)</f>
        <v/>
      </c>
      <c r="F17" s="17">
        <f>IFERROR(F16/F14,0)</f>
        <v/>
      </c>
      <c r="G17" s="18" t="n">
        <v>0.2375</v>
      </c>
      <c r="H17" s="18" t="n">
        <v>0.2375</v>
      </c>
      <c r="I17" s="18" t="n">
        <v>0.2375</v>
      </c>
      <c r="J17" s="18" t="n">
        <v>0.2375</v>
      </c>
      <c r="K17" s="18" t="n">
        <v>0.2375</v>
      </c>
    </row>
    <row r="18" ht="16" customHeight="1"/>
    <row r="19" ht="16" customHeight="1">
      <c r="A19" s="12" t="inlineStr">
        <is>
          <t>Cash Flow Items</t>
        </is>
      </c>
      <c r="B19" s="13" t="inlineStr">
        <is>
          <t>2021</t>
        </is>
      </c>
      <c r="C19" s="13" t="inlineStr">
        <is>
          <t>2022</t>
        </is>
      </c>
      <c r="D19" s="13" t="inlineStr">
        <is>
          <t>2023</t>
        </is>
      </c>
      <c r="E19" s="13" t="inlineStr">
        <is>
          <t>2024</t>
        </is>
      </c>
      <c r="F19" s="13" t="inlineStr">
        <is>
          <t>2025</t>
        </is>
      </c>
      <c r="G19" s="13" t="inlineStr">
        <is>
          <t>2026</t>
        </is>
      </c>
      <c r="H19" s="13" t="inlineStr">
        <is>
          <t>2027</t>
        </is>
      </c>
      <c r="I19" s="13" t="inlineStr">
        <is>
          <t>2028</t>
        </is>
      </c>
      <c r="J19" s="13" t="inlineStr">
        <is>
          <t>2029</t>
        </is>
      </c>
      <c r="K19" s="13" t="inlineStr">
        <is>
          <t>2030</t>
        </is>
      </c>
    </row>
    <row r="20" ht="16" customHeight="1">
      <c r="A20" s="2" t="inlineStr">
        <is>
          <t>D&amp;A</t>
        </is>
      </c>
      <c r="B20" s="14" t="n">
        <v>254700</v>
      </c>
      <c r="C20" s="14" t="n">
        <v>286800</v>
      </c>
      <c r="D20" s="14" t="n">
        <v>319400</v>
      </c>
      <c r="E20" s="14" t="n">
        <v>335000</v>
      </c>
      <c r="F20" s="14" t="n">
        <v>361400</v>
      </c>
      <c r="G20" s="15">
        <f>G12*G21</f>
        <v/>
      </c>
      <c r="H20" s="15">
        <f>H12*H21</f>
        <v/>
      </c>
      <c r="I20" s="15">
        <f>I12*I21</f>
        <v/>
      </c>
      <c r="J20" s="15">
        <f>J12*J21</f>
        <v/>
      </c>
      <c r="K20" s="15">
        <f>K12*K21</f>
        <v/>
      </c>
    </row>
    <row r="21" ht="16" customHeight="1">
      <c r="A21" s="16" t="inlineStr">
        <is>
          <t xml:space="preserve">   % of sales</t>
        </is>
      </c>
      <c r="B21" s="17">
        <f>IFERROR(B20/B12,0)</f>
        <v/>
      </c>
      <c r="C21" s="17">
        <f>IFERROR(C20/C12,0)</f>
        <v/>
      </c>
      <c r="D21" s="17">
        <f>IFERROR(D20/D12,0)</f>
        <v/>
      </c>
      <c r="E21" s="17">
        <f>IFERROR(E20/E12,0)</f>
        <v/>
      </c>
      <c r="F21" s="17">
        <f>IFERROR(F20/F12,0)</f>
        <v/>
      </c>
      <c r="G21" s="18" t="n">
        <v>0.03</v>
      </c>
      <c r="H21" s="18" t="n">
        <v>0.03</v>
      </c>
      <c r="I21" s="18" t="n">
        <v>0.03</v>
      </c>
      <c r="J21" s="18" t="n">
        <v>0.03</v>
      </c>
      <c r="K21" s="18" t="n">
        <v>0.03</v>
      </c>
    </row>
    <row r="22" ht="16" customHeight="1">
      <c r="A22" s="2" t="inlineStr">
        <is>
          <t>CapEx</t>
        </is>
      </c>
      <c r="B22" s="14" t="n">
        <v>442479</v>
      </c>
      <c r="C22" s="14" t="n">
        <v>479164</v>
      </c>
      <c r="D22" s="14" t="n">
        <v>560731</v>
      </c>
      <c r="E22" s="14" t="n">
        <v>593603</v>
      </c>
      <c r="F22" s="14" t="n">
        <v>666156</v>
      </c>
      <c r="G22" s="15">
        <f>G12*G23</f>
        <v/>
      </c>
      <c r="H22" s="15">
        <f>H12*H23</f>
        <v/>
      </c>
      <c r="I22" s="15">
        <f>I12*I23</f>
        <v/>
      </c>
      <c r="J22" s="15">
        <f>J12*J23</f>
        <v/>
      </c>
      <c r="K22" s="15">
        <f>K12*K23</f>
        <v/>
      </c>
    </row>
    <row r="23" ht="16" customHeight="1">
      <c r="A23" s="16" t="inlineStr">
        <is>
          <t xml:space="preserve">   % of sales</t>
        </is>
      </c>
      <c r="B23" s="19">
        <f>IFERROR(B22/B12,0)</f>
        <v/>
      </c>
      <c r="C23" s="19">
        <f>IFERROR(C22/C12,0)</f>
        <v/>
      </c>
      <c r="D23" s="19">
        <f>IFERROR(D22/D12,0)</f>
        <v/>
      </c>
      <c r="E23" s="19">
        <f>IFERROR(E22/E12,0)</f>
        <v/>
      </c>
      <c r="F23" s="19">
        <f>IFERROR(F22/F12,0)</f>
        <v/>
      </c>
      <c r="G23" s="20" t="n">
        <v>0.057</v>
      </c>
      <c r="H23" s="20" t="n">
        <v>0.058</v>
      </c>
      <c r="I23" s="20" t="n">
        <v>0.059</v>
      </c>
      <c r="J23" s="20" t="n">
        <v>0.06</v>
      </c>
      <c r="K23" s="20" t="n">
        <v>0.061</v>
      </c>
    </row>
    <row r="24" ht="16" customHeight="1">
      <c r="A24" s="2" t="inlineStr">
        <is>
          <t>Change in NWC</t>
        </is>
      </c>
      <c r="B24" s="14" t="n">
        <v>805467</v>
      </c>
      <c r="C24" s="14" t="n">
        <v>613027</v>
      </c>
      <c r="D24" s="14" t="n">
        <v>642900</v>
      </c>
      <c r="E24" s="14" t="n">
        <v>703854</v>
      </c>
      <c r="F24" s="14" t="n">
        <v>740351</v>
      </c>
      <c r="G24" s="15">
        <f>G12*G25</f>
        <v/>
      </c>
      <c r="H24" s="15">
        <f>H12*H25</f>
        <v/>
      </c>
      <c r="I24" s="15">
        <f>I12*I25</f>
        <v/>
      </c>
      <c r="J24" s="15">
        <f>J12*J25</f>
        <v/>
      </c>
      <c r="K24" s="15">
        <f>K12*K25</f>
        <v/>
      </c>
    </row>
    <row r="25" ht="16" customHeight="1">
      <c r="A25" s="16" t="inlineStr">
        <is>
          <t xml:space="preserve">   % of sales</t>
        </is>
      </c>
      <c r="B25" s="17">
        <f>IFERROR(B24/B12,0)</f>
        <v/>
      </c>
      <c r="C25" s="17">
        <f>IFERROR(C24/C12,0)</f>
        <v/>
      </c>
      <c r="D25" s="17">
        <f>IFERROR(D24/D12,0)</f>
        <v/>
      </c>
      <c r="E25" s="17">
        <f>IFERROR(E24/E12,0)</f>
        <v/>
      </c>
      <c r="F25" s="17">
        <f>IFERROR(F24/F12,0)</f>
        <v/>
      </c>
      <c r="G25" s="18" t="n">
        <v>0.05</v>
      </c>
      <c r="H25" s="18" t="n">
        <v>0.05</v>
      </c>
      <c r="I25" s="18" t="n">
        <v>0.05</v>
      </c>
      <c r="J25" s="18" t="n">
        <v>0.05</v>
      </c>
      <c r="K25" s="18" t="n">
        <v>0.05</v>
      </c>
    </row>
    <row r="26" ht="16" customHeight="1"/>
    <row r="27" ht="16" customHeight="1">
      <c r="A27" s="12" t="inlineStr">
        <is>
          <t>DCF</t>
        </is>
      </c>
      <c r="B27" s="13" t="inlineStr">
        <is>
          <t>2021</t>
        </is>
      </c>
      <c r="C27" s="13" t="inlineStr">
        <is>
          <t>2022</t>
        </is>
      </c>
      <c r="D27" s="13" t="inlineStr">
        <is>
          <t>2023</t>
        </is>
      </c>
      <c r="E27" s="13" t="inlineStr">
        <is>
          <t>2024</t>
        </is>
      </c>
      <c r="F27" s="13" t="inlineStr">
        <is>
          <t>2025</t>
        </is>
      </c>
      <c r="G27" s="13" t="inlineStr">
        <is>
          <t>1</t>
        </is>
      </c>
      <c r="H27" s="13" t="inlineStr">
        <is>
          <t>2</t>
        </is>
      </c>
      <c r="I27" s="13" t="inlineStr">
        <is>
          <t>3</t>
        </is>
      </c>
      <c r="J27" s="13" t="inlineStr">
        <is>
          <t>4</t>
        </is>
      </c>
      <c r="K27" s="13" t="inlineStr">
        <is>
          <t>5</t>
        </is>
      </c>
    </row>
    <row r="28" ht="16" customHeight="1">
      <c r="A28" s="2" t="inlineStr">
        <is>
          <t>Revenue</t>
        </is>
      </c>
      <c r="B28" s="21">
        <f>B12</f>
        <v/>
      </c>
      <c r="C28" s="21">
        <f>C12</f>
        <v/>
      </c>
      <c r="D28" s="21">
        <f>D12</f>
        <v/>
      </c>
      <c r="E28" s="21">
        <f>E12</f>
        <v/>
      </c>
      <c r="F28" s="21">
        <f>F12</f>
        <v/>
      </c>
      <c r="G28" s="15">
        <f>G12</f>
        <v/>
      </c>
      <c r="H28" s="15">
        <f>H12</f>
        <v/>
      </c>
      <c r="I28" s="15">
        <f>I12</f>
        <v/>
      </c>
      <c r="J28" s="15">
        <f>J12</f>
        <v/>
      </c>
      <c r="K28" s="15">
        <f>K12</f>
        <v/>
      </c>
    </row>
    <row r="29" ht="16" customHeight="1">
      <c r="A29" s="16" t="inlineStr">
        <is>
          <t xml:space="preserve">   % growth</t>
        </is>
      </c>
      <c r="B29" s="17">
        <f>B13</f>
        <v/>
      </c>
      <c r="C29" s="17">
        <f>C13</f>
        <v/>
      </c>
      <c r="D29" s="17">
        <f>D13</f>
        <v/>
      </c>
      <c r="E29" s="17">
        <f>E13</f>
        <v/>
      </c>
      <c r="F29" s="17">
        <f>F13</f>
        <v/>
      </c>
      <c r="G29" s="22">
        <f>G13</f>
        <v/>
      </c>
      <c r="H29" s="22">
        <f>H13</f>
        <v/>
      </c>
      <c r="I29" s="22">
        <f>I13</f>
        <v/>
      </c>
      <c r="J29" s="22">
        <f>J13</f>
        <v/>
      </c>
      <c r="K29" s="22">
        <f>K13</f>
        <v/>
      </c>
    </row>
    <row r="30" ht="16" customHeight="1">
      <c r="A30" s="2" t="inlineStr">
        <is>
          <t>EBIT</t>
        </is>
      </c>
      <c r="B30" s="21">
        <f>B14</f>
        <v/>
      </c>
      <c r="C30" s="21">
        <f>C14</f>
        <v/>
      </c>
      <c r="D30" s="21">
        <f>D14</f>
        <v/>
      </c>
      <c r="E30" s="21">
        <f>E14</f>
        <v/>
      </c>
      <c r="F30" s="21">
        <f>F14</f>
        <v/>
      </c>
      <c r="G30" s="15">
        <f>G14</f>
        <v/>
      </c>
      <c r="H30" s="15">
        <f>H14</f>
        <v/>
      </c>
      <c r="I30" s="15">
        <f>I14</f>
        <v/>
      </c>
      <c r="J30" s="15">
        <f>J14</f>
        <v/>
      </c>
      <c r="K30" s="15">
        <f>K14</f>
        <v/>
      </c>
    </row>
    <row r="31" ht="16" customHeight="1">
      <c r="A31" s="16" t="inlineStr">
        <is>
          <t xml:space="preserve">   % margin</t>
        </is>
      </c>
      <c r="B31" s="17">
        <f>B15</f>
        <v/>
      </c>
      <c r="C31" s="17">
        <f>C15</f>
        <v/>
      </c>
      <c r="D31" s="17">
        <f>D15</f>
        <v/>
      </c>
      <c r="E31" s="17">
        <f>E15</f>
        <v/>
      </c>
      <c r="F31" s="17">
        <f>F15</f>
        <v/>
      </c>
      <c r="G31" s="22">
        <f>G15</f>
        <v/>
      </c>
      <c r="H31" s="22">
        <f>H15</f>
        <v/>
      </c>
      <c r="I31" s="22">
        <f>I15</f>
        <v/>
      </c>
      <c r="J31" s="22">
        <f>J15</f>
        <v/>
      </c>
      <c r="K31" s="22">
        <f>K15</f>
        <v/>
      </c>
    </row>
    <row r="32" ht="16" customHeight="1">
      <c r="A32" s="2" t="inlineStr">
        <is>
          <t>Taxes</t>
        </is>
      </c>
      <c r="B32" s="21">
        <f>B16</f>
        <v/>
      </c>
      <c r="C32" s="21">
        <f>C16</f>
        <v/>
      </c>
      <c r="D32" s="21">
        <f>D16</f>
        <v/>
      </c>
      <c r="E32" s="21">
        <f>E16</f>
        <v/>
      </c>
      <c r="F32" s="21">
        <f>F16</f>
        <v/>
      </c>
      <c r="G32" s="15">
        <f>G16</f>
        <v/>
      </c>
      <c r="H32" s="15">
        <f>H16</f>
        <v/>
      </c>
      <c r="I32" s="15">
        <f>I16</f>
        <v/>
      </c>
      <c r="J32" s="15">
        <f>J16</f>
        <v/>
      </c>
      <c r="K32" s="15">
        <f>K16</f>
        <v/>
      </c>
    </row>
    <row r="33" ht="16" customHeight="1">
      <c r="A33" s="16" t="inlineStr">
        <is>
          <t xml:space="preserve">   % of EBIT</t>
        </is>
      </c>
      <c r="B33" s="17">
        <f>B17</f>
        <v/>
      </c>
      <c r="C33" s="17">
        <f>C17</f>
        <v/>
      </c>
      <c r="D33" s="17">
        <f>D17</f>
        <v/>
      </c>
      <c r="E33" s="17">
        <f>E17</f>
        <v/>
      </c>
      <c r="F33" s="17">
        <f>F17</f>
        <v/>
      </c>
      <c r="G33" s="22">
        <f>G17</f>
        <v/>
      </c>
      <c r="H33" s="22">
        <f>H17</f>
        <v/>
      </c>
      <c r="I33" s="22">
        <f>I17</f>
        <v/>
      </c>
      <c r="J33" s="22">
        <f>J17</f>
        <v/>
      </c>
      <c r="K33" s="22">
        <f>K17</f>
        <v/>
      </c>
    </row>
    <row r="34" ht="16" customHeight="1"/>
    <row r="35" ht="16" customHeight="1">
      <c r="A35" s="2" t="inlineStr">
        <is>
          <t>EBIAT</t>
        </is>
      </c>
      <c r="G35" s="15">
        <f>G30-G32</f>
        <v/>
      </c>
      <c r="H35" s="15">
        <f>H30-H32</f>
        <v/>
      </c>
      <c r="I35" s="15">
        <f>I30-I32</f>
        <v/>
      </c>
      <c r="J35" s="15">
        <f>J30-J32</f>
        <v/>
      </c>
      <c r="K35" s="15">
        <f>K30-K32</f>
        <v/>
      </c>
    </row>
    <row r="36" ht="16" customHeight="1">
      <c r="A36" s="2" t="inlineStr">
        <is>
          <t>D&amp;A</t>
        </is>
      </c>
      <c r="B36" s="21">
        <f>B20</f>
        <v/>
      </c>
      <c r="C36" s="21">
        <f>C20</f>
        <v/>
      </c>
      <c r="D36" s="21">
        <f>D20</f>
        <v/>
      </c>
      <c r="E36" s="21">
        <f>E20</f>
        <v/>
      </c>
      <c r="F36" s="21">
        <f>F20</f>
        <v/>
      </c>
      <c r="G36" s="15">
        <f>G20</f>
        <v/>
      </c>
      <c r="H36" s="15">
        <f>H20</f>
        <v/>
      </c>
      <c r="I36" s="15">
        <f>I20</f>
        <v/>
      </c>
      <c r="J36" s="15">
        <f>J20</f>
        <v/>
      </c>
      <c r="K36" s="15">
        <f>K20</f>
        <v/>
      </c>
    </row>
    <row r="37" ht="16" customHeight="1">
      <c r="A37" s="16" t="inlineStr">
        <is>
          <t xml:space="preserve">   % of sales</t>
        </is>
      </c>
      <c r="B37" s="17">
        <f>B21</f>
        <v/>
      </c>
      <c r="C37" s="17">
        <f>C21</f>
        <v/>
      </c>
      <c r="D37" s="17">
        <f>D21</f>
        <v/>
      </c>
      <c r="E37" s="17">
        <f>E21</f>
        <v/>
      </c>
      <c r="F37" s="17">
        <f>F21</f>
        <v/>
      </c>
      <c r="G37" s="22">
        <f>G21</f>
        <v/>
      </c>
      <c r="H37" s="22">
        <f>H21</f>
        <v/>
      </c>
      <c r="I37" s="22">
        <f>I21</f>
        <v/>
      </c>
      <c r="J37" s="22">
        <f>J21</f>
        <v/>
      </c>
      <c r="K37" s="22">
        <f>K21</f>
        <v/>
      </c>
    </row>
    <row r="38" ht="16" customHeight="1">
      <c r="A38" s="2" t="inlineStr">
        <is>
          <t>CapEx</t>
        </is>
      </c>
      <c r="B38" s="21">
        <f>B22</f>
        <v/>
      </c>
      <c r="C38" s="21">
        <f>C22</f>
        <v/>
      </c>
      <c r="D38" s="21">
        <f>D22</f>
        <v/>
      </c>
      <c r="E38" s="21">
        <f>E22</f>
        <v/>
      </c>
      <c r="F38" s="21">
        <f>F22</f>
        <v/>
      </c>
      <c r="G38" s="15">
        <f>G22</f>
        <v/>
      </c>
      <c r="H38" s="15">
        <f>H22</f>
        <v/>
      </c>
      <c r="I38" s="15">
        <f>I22</f>
        <v/>
      </c>
      <c r="J38" s="15">
        <f>J22</f>
        <v/>
      </c>
      <c r="K38" s="15">
        <f>K22</f>
        <v/>
      </c>
    </row>
    <row r="39" ht="16" customHeight="1">
      <c r="A39" s="16" t="inlineStr">
        <is>
          <t xml:space="preserve">   % of sales</t>
        </is>
      </c>
      <c r="B39" s="19">
        <f>B23</f>
        <v/>
      </c>
      <c r="C39" s="19">
        <f>C23</f>
        <v/>
      </c>
      <c r="D39" s="19">
        <f>D23</f>
        <v/>
      </c>
      <c r="E39" s="19">
        <f>E23</f>
        <v/>
      </c>
      <c r="F39" s="19">
        <f>F23</f>
        <v/>
      </c>
      <c r="G39" s="23">
        <f>G23</f>
        <v/>
      </c>
      <c r="H39" s="23">
        <f>H23</f>
        <v/>
      </c>
      <c r="I39" s="23">
        <f>I23</f>
        <v/>
      </c>
      <c r="J39" s="23">
        <f>J23</f>
        <v/>
      </c>
      <c r="K39" s="23">
        <f>K23</f>
        <v/>
      </c>
    </row>
    <row r="40" ht="16" customHeight="1">
      <c r="A40" s="2" t="inlineStr">
        <is>
          <t>Change in NWC</t>
        </is>
      </c>
      <c r="B40" s="21">
        <f>B24</f>
        <v/>
      </c>
      <c r="C40" s="21">
        <f>C24</f>
        <v/>
      </c>
      <c r="D40" s="21">
        <f>D24</f>
        <v/>
      </c>
      <c r="E40" s="21">
        <f>E24</f>
        <v/>
      </c>
      <c r="F40" s="21">
        <f>F24</f>
        <v/>
      </c>
      <c r="G40" s="15">
        <f>G24</f>
        <v/>
      </c>
      <c r="H40" s="15">
        <f>H24</f>
        <v/>
      </c>
      <c r="I40" s="15">
        <f>I24</f>
        <v/>
      </c>
      <c r="J40" s="15">
        <f>J24</f>
        <v/>
      </c>
      <c r="K40" s="15">
        <f>K24</f>
        <v/>
      </c>
    </row>
    <row r="41" ht="16" customHeight="1">
      <c r="A41" s="16" t="inlineStr">
        <is>
          <t xml:space="preserve">   % of sales</t>
        </is>
      </c>
      <c r="B41" s="17">
        <f>B25</f>
        <v/>
      </c>
      <c r="C41" s="17">
        <f>C25</f>
        <v/>
      </c>
      <c r="D41" s="17">
        <f>D25</f>
        <v/>
      </c>
      <c r="E41" s="17">
        <f>E25</f>
        <v/>
      </c>
      <c r="F41" s="17">
        <f>F25</f>
        <v/>
      </c>
      <c r="G41" s="22">
        <f>G25</f>
        <v/>
      </c>
      <c r="H41" s="22">
        <f>H25</f>
        <v/>
      </c>
      <c r="I41" s="22">
        <f>I25</f>
        <v/>
      </c>
      <c r="J41" s="22">
        <f>J25</f>
        <v/>
      </c>
      <c r="K41" s="22">
        <f>K25</f>
        <v/>
      </c>
    </row>
    <row r="42" ht="16" customHeight="1"/>
    <row r="43" ht="16" customHeight="1">
      <c r="A43" s="2" t="inlineStr">
        <is>
          <t>Unlevered FCF</t>
        </is>
      </c>
      <c r="G43" s="24">
        <f>G35+G36-G38-G40</f>
        <v/>
      </c>
      <c r="H43" s="24">
        <f>H35+H36-H38-H40</f>
        <v/>
      </c>
      <c r="I43" s="24">
        <f>I35+I36-I38-I40</f>
        <v/>
      </c>
      <c r="J43" s="24">
        <f>J35+J36-J38-J40</f>
        <v/>
      </c>
      <c r="K43" s="24">
        <f>K35+K36-K38-K40</f>
        <v/>
      </c>
    </row>
    <row r="44" ht="16" customHeight="1">
      <c r="A44" s="2" t="inlineStr">
        <is>
          <t>Present Value of FCF</t>
        </is>
      </c>
      <c r="G44" s="15">
        <f>G43/((1+$B$8)^1)</f>
        <v/>
      </c>
      <c r="H44" s="15">
        <f>H43/((1+$B$8)^2)</f>
        <v/>
      </c>
      <c r="I44" s="15">
        <f>I43/((1+$B$8)^3)</f>
        <v/>
      </c>
      <c r="J44" s="15">
        <f>J43/((1+$B$8)^4)</f>
        <v/>
      </c>
      <c r="K44" s="15">
        <f>K43/((1+$B$8)^5)</f>
        <v/>
      </c>
    </row>
    <row r="45" ht="16" customHeight="1"/>
    <row r="46" ht="16" customHeight="1">
      <c r="A46" s="2" t="inlineStr">
        <is>
          <t>Terminal Value</t>
        </is>
      </c>
      <c r="M46" s="15">
        <f>K43*(1+$B$9)/($B$8-$B$9)</f>
        <v/>
      </c>
    </row>
    <row r="47" ht="16" customHeight="1">
      <c r="A47" s="2" t="inlineStr">
        <is>
          <t>Present Value of Terminal Value</t>
        </is>
      </c>
      <c r="M47" s="15">
        <f>M46/((1+$B$8)^5)</f>
        <v/>
      </c>
    </row>
    <row r="48" ht="16" customHeight="1"/>
    <row r="49" ht="16" customHeight="1">
      <c r="A49" s="2" t="inlineStr">
        <is>
          <t>Enterprise Value</t>
        </is>
      </c>
      <c r="M49" s="24">
        <f>SUM(G44:K44)+M47</f>
        <v/>
      </c>
    </row>
    <row r="50" ht="16" customHeight="1">
      <c r="A50" s="2" t="inlineStr">
        <is>
          <t>+ Cash</t>
        </is>
      </c>
      <c r="M50" s="25" t="n">
        <v>1050000</v>
      </c>
    </row>
    <row r="51" ht="16" customHeight="1">
      <c r="A51" s="2" t="inlineStr">
        <is>
          <t>- Debt</t>
        </is>
      </c>
      <c r="M51" s="25" t="n">
        <v>5080000</v>
      </c>
    </row>
    <row r="52" ht="16" customHeight="1">
      <c r="A52" s="2" t="inlineStr">
        <is>
          <t>Equity Value</t>
        </is>
      </c>
      <c r="M52" s="24">
        <f>M49+M50-M51</f>
        <v/>
      </c>
    </row>
    <row r="53" ht="16" customHeight="1">
      <c r="A53" s="2" t="inlineStr">
        <is>
          <t>/ Shares Outstanding</t>
        </is>
      </c>
      <c r="M53" s="25" t="n">
        <v>1300000</v>
      </c>
    </row>
    <row r="54" ht="16" customHeight="1">
      <c r="A54" s="2" t="inlineStr">
        <is>
          <t>Implied Share Price</t>
        </is>
      </c>
      <c r="M54" s="26">
        <f>M52/M53</f>
        <v/>
      </c>
    </row>
    <row r="55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2026-04-14T19:33:28Z</dcterms:created>
  <dcterms:modified xsi:type="dcterms:W3CDTF">2026-04-14T19:33:28Z</dcterms:modified>
</cp:coreProperties>
</file>